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821250b7649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开研究复核" sheetId="1" r:id="Ra2482e977dca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5">
    <x:font>
      <x:sz val="11"/>
      <x:name val="Carlito"/>
    </x:font>
    <x:font>
      <x:sz val="11"/>
      <x:color rgb="FF243F34"/>
      <x:name val="Microsoft YaHei"/>
    </x:font>
    <x:font>
      <x:b/>
      <x:sz val="16"/>
      <x:color rgb="FF243F34"/>
      <x:name val="Microsoft YaHei"/>
    </x:font>
    <x:font>
      <x:b/>
      <x:sz val="11"/>
      <x:color rgb="FFFFFFFF"/>
      <x:name val="Microsoft YaHei"/>
    </x:font>
    <x:font>
      <x:sz val="11"/>
      <x:color rgb="FF738279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16A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b9568c09ee4d0f" /><Relationship Type="http://schemas.openxmlformats.org/officeDocument/2006/relationships/theme" Target="/xl/theme/theme1.xml" Id="Racbc7ae97c404d5d" /><Relationship Type="http://schemas.openxmlformats.org/officeDocument/2006/relationships/sharedStrings" Target="/xl/sharedStrings.xml" Id="Rcee8d6100df44a64" /><Relationship Type="http://schemas.openxmlformats.org/officeDocument/2006/relationships/worksheet" Target="/xl/worksheets/sheet1.xml" Id="Ra2482e977dca4b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68aa7eeffe46e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Microsoft YaHei"/>
                <a:ea typeface="Microsoft YaHei"/>
                <a:cs typeface="Microsoft YaHei"/>
              </a:rPr>
              <a:t>公开研究参考比例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原文取整比例</c:v>
          </c:tx>
          <c:spPr>
            <a:solidFill xmlns:a="http://schemas.openxmlformats.org/drawingml/2006/main">
              <a:srgbClr val="709E80"/>
            </a:solidFill>
          </c:spPr>
          <c:invertIfNegative val="0"/>
          <c:cat>
            <c:strRef>
              <c:f>'公开研究复核'!$B$6:$B$8</c:f>
              <c:strCache>
                <c:ptCount val="0"/>
              </c:strCache>
            </c:strRef>
          </c:cat>
          <c:val>
            <c:numRef>
              <c:f>'公开研究复核'!$F$6:$F$8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68aa7eeffe46e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24c0efa7c8c40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0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3" hidden="0" customWidth="1"/>
  </x:cols>
  <x:sheetData>
    <x:row r="2">
      <x:c r="B2" s="2" t="str">
        <x:v>社区猫公开研究数据复核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B3" s="10" t="str">
        <x:v>N=5,382；外部研究，非本项目问卷统计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0" customHeight="1">
      <x:c r="B5" s="6" t="str">
        <x:v>指标</x:v>
      </x:c>
      <x:c r="C5" s="6" t="str">
        <x:v>回答是（人）</x:v>
      </x:c>
      <x:c r="D5" s="6" t="str">
        <x:v>样本量（人）</x:v>
      </x:c>
      <x:c r="E5" s="6" t="str">
        <x:v>人数计算比例</x:v>
      </x:c>
      <x:c r="F5" s="6" t="str">
        <x:v>原文取整比例</x:v>
      </x:c>
      <x:c r="G5" s="6" t="str">
        <x:v>取整差异（百分点）</x:v>
      </x:c>
      <x:c r="H5" s="1"/>
      <x:c r="I5" s="1"/>
      <x:c r="J5" s="1"/>
      <x:c r="K5" s="1"/>
      <x:c r="L5" s="1"/>
      <x:c r="M5" s="1"/>
    </x:row>
    <x:row r="6" ht="32" customHeight="1">
      <x:c r="B6" s="7" t="str">
        <x:v>曾救助或帮助社区猫</x:v>
      </x:c>
      <x:c r="C6" s="7" t="n">
        <x:v>2445</x:v>
      </x:c>
      <x:c r="D6" s="7" t="n">
        <x:v>5382</x:v>
      </x:c>
      <x:c r="E6" s="8" t="n">
        <x:f>C6/D6</x:f>
        <x:v>0.45429208472686733</x:v>
      </x:c>
      <x:c r="F6" s="8" t="n">
        <x:v>0.45</x:v>
      </x:c>
      <x:c r="G6" s="9" t="n">
        <x:f>(E6-F6)*100</x:f>
        <x:v>0.4292084726867318</x:v>
      </x:c>
      <x:c r="H6" s="1"/>
      <x:c r="I6" s="1"/>
      <x:c r="J6" s="1"/>
      <x:c r="K6" s="1"/>
      <x:c r="L6" s="1"/>
      <x:c r="M6" s="1"/>
    </x:row>
    <x:row r="7" ht="32" customHeight="1">
      <x:c r="B7" s="7" t="str">
        <x:v>有条件时愿意领养</x:v>
      </x:c>
      <x:c r="C7" s="7" t="n">
        <x:v>2064</x:v>
      </x:c>
      <x:c r="D7" s="7" t="n">
        <x:v>5382</x:v>
      </x:c>
      <x:c r="E7" s="8" t="n">
        <x:f>C7/D7</x:f>
        <x:v>0.3835005574136009</x:v>
      </x:c>
      <x:c r="F7" s="8" t="n">
        <x:v>0.38</x:v>
      </x:c>
      <x:c r="G7" s="9" t="n">
        <x:f>(E7-F7)*100</x:f>
        <x:v>0.3500557413600891</x:v>
      </x:c>
      <x:c r="H7" s="1"/>
      <x:c r="I7" s="1"/>
      <x:c r="J7" s="1"/>
      <x:c r="K7" s="1"/>
      <x:c r="L7" s="1"/>
      <x:c r="M7" s="1"/>
    </x:row>
    <x:row r="8" ht="32" customHeight="1">
      <x:c r="B8" s="7" t="str">
        <x:v>曾向管理方投诉</x:v>
      </x:c>
      <x:c r="C8" s="7" t="n">
        <x:v>956</x:v>
      </x:c>
      <x:c r="D8" s="7" t="n">
        <x:v>5382</x:v>
      </x:c>
      <x:c r="E8" s="8" t="n">
        <x:f>C8/D8</x:f>
        <x:v>0.17762913415087328</x:v>
      </x:c>
      <x:c r="F8" s="8" t="n">
        <x:v>0.18</x:v>
      </x:c>
      <x:c r="G8" s="9" t="n">
        <x:f>(E8-F8)*100</x:f>
        <x:v>-0.23708658491267132</x:v>
      </x:c>
      <x:c r="H8" s="1"/>
      <x:c r="I8" s="1"/>
      <x:c r="J8" s="1"/>
      <x:c r="K8" s="1"/>
      <x:c r="L8" s="1"/>
      <x:c r="M8" s="1"/>
    </x:row>
    <x:row r="9"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>
      <x:c r="B11" s="1" t="str">
        <x:v>来源：Gu et al., Animals 2024, 14(3), 525，Table 2。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>
      <x:c r="B12" s="1" t="str">
        <x:v>https://pmc.ncbi.nlm.nih.gov/articles/PMC10854670/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>
      <x:c r="B14" s="1" t="str">
        <x:v>三项指标非互斥，不相加，也不构成领养转化漏斗。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>
      <x:c r="B15" s="1" t="str">
        <x:v>图表使用原文约数。项目问卷回收量超过200份，未提供逐条答卷。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</x:sheetData>
  <x:pageMargins left="0.7" right="0.7" top="0.75" bottom="0.75" header="0.3" footer="0.3"/>
  <x:drawing xmlns:r="http://schemas.openxmlformats.org/officeDocument/2006/relationships" r:id="R424c0efa7c8c4050"/>
</x:worksheet>
</file>